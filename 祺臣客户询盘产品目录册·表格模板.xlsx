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①产品目录" sheetId="2" state="visible" r:id="rId2"/>
    <sheet name="②选型估算" sheetId="3" state="visible" r:id="rId3"/>
    <sheet name="③PI行项目模板" sheetId="4" state="visible" r:id="rId4"/>
    <sheet name="④条款库" sheetId="5" state="visible" r:id="rId5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$#,##0;[Red]($#,##0);&quot;-&quot;"/>
  </numFmts>
  <fonts count="15">
    <font>
      <name val="Calibri"/>
      <family val="2"/>
      <color theme="1"/>
      <sz val="11"/>
      <scheme val="minor"/>
    </font>
    <font>
      <name val="Microsoft YaHei"/>
      <sz val="11"/>
    </font>
    <font>
      <name val="Microsoft YaHei"/>
      <b val="1"/>
      <color rgb="00FFFFFF"/>
      <sz val="16"/>
    </font>
    <font>
      <name val="Microsoft YaHei"/>
      <b val="1"/>
      <color rgb="000F766E"/>
      <sz val="11"/>
    </font>
    <font>
      <name val="Microsoft YaHei"/>
      <color rgb="0064748B"/>
      <sz val="10"/>
    </font>
    <font>
      <name val="Microsoft YaHei"/>
      <b val="1"/>
      <color rgb="00FFFFFF"/>
      <sz val="12"/>
    </font>
    <font>
      <name val="Microsoft YaHei"/>
      <b val="1"/>
      <color rgb="00B45309"/>
      <sz val="11"/>
    </font>
    <font>
      <name val="Microsoft YaHei"/>
      <b val="1"/>
      <color rgb="00B45309"/>
      <sz val="12"/>
    </font>
    <font>
      <name val="Microsoft YaHei"/>
      <b val="1"/>
      <sz val="11"/>
    </font>
    <font>
      <name val="Microsoft YaHei"/>
      <b val="1"/>
      <color rgb="000F766E"/>
      <sz val="12"/>
    </font>
    <font>
      <name val="Microsoft YaHei"/>
      <b val="1"/>
      <color rgb="0015803D"/>
      <sz val="11"/>
    </font>
    <font>
      <name val="Microsoft YaHei"/>
      <color rgb="00B91C1C"/>
      <sz val="10"/>
    </font>
    <font>
      <name val="Microsoft YaHei"/>
      <b val="1"/>
      <sz val="12"/>
    </font>
    <font>
      <name val="Microsoft YaHei"/>
      <color rgb="000F766E"/>
      <sz val="10.5"/>
    </font>
    <font>
      <name val="Microsoft YaHei"/>
      <color rgb="00B91C1C"/>
      <sz val="10.5"/>
    </font>
  </fonts>
  <fills count="7">
    <fill>
      <patternFill/>
    </fill>
    <fill>
      <patternFill patternType="gray125"/>
    </fill>
    <fill>
      <patternFill patternType="solid">
        <fgColor rgb="00134E4A"/>
      </patternFill>
    </fill>
    <fill>
      <patternFill patternType="solid">
        <fgColor rgb="00F0FDFA"/>
      </patternFill>
    </fill>
    <fill>
      <patternFill patternType="solid">
        <fgColor rgb="000F766E"/>
      </patternFill>
    </fill>
    <fill>
      <patternFill patternType="solid">
        <fgColor rgb="00FEF3C7"/>
      </patternFill>
    </fill>
    <fill>
      <patternFill patternType="solid">
        <fgColor rgb="00DCFCE7"/>
      </patternFill>
    </fill>
  </fills>
  <borders count="10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 style="thin">
        <color rgb="00BFBFBF"/>
      </right>
      <top style="double">
        <color rgb="000F766E"/>
      </top>
      <bottom style="thin">
        <color rgb="00BFBFBF"/>
      </bottom>
    </border>
  </borders>
  <cellStyleXfs count="1">
    <xf numFmtId="0" fontId="1" fillId="0" borderId="0"/>
  </cellStyleXfs>
  <cellXfs count="3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5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3" pivotButton="0" quotePrefix="0" xfId="0"/>
    <xf numFmtId="0" fontId="3" fillId="3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0" fillId="0" borderId="4" pivotButton="0" quotePrefix="0" xfId="0"/>
    <xf numFmtId="0" fontId="7" fillId="0" borderId="0" pivotButton="0" quotePrefix="0" xfId="0"/>
    <xf numFmtId="0" fontId="8" fillId="3" borderId="1" pivotButton="0" quotePrefix="0" xfId="0"/>
    <xf numFmtId="0" fontId="6" fillId="5" borderId="1" pivotButton="0" quotePrefix="0" xfId="0"/>
    <xf numFmtId="0" fontId="4" fillId="0" borderId="0" pivotButton="0" quotePrefix="0" xfId="0"/>
    <xf numFmtId="3" fontId="6" fillId="5" borderId="1" pivotButton="0" quotePrefix="0" xfId="0"/>
    <xf numFmtId="9" fontId="6" fillId="5" borderId="1" pivotButton="0" quotePrefix="0" xfId="0"/>
    <xf numFmtId="0" fontId="9" fillId="0" borderId="0" pivotButton="0" quotePrefix="0" xfId="0"/>
    <xf numFmtId="3" fontId="9" fillId="0" borderId="1" pivotButton="0" quotePrefix="0" xfId="0"/>
    <xf numFmtId="0" fontId="10" fillId="6" borderId="1" applyAlignment="1" pivotButton="0" quotePrefix="0" xfId="0">
      <alignment wrapText="1"/>
    </xf>
    <xf numFmtId="0" fontId="11" fillId="0" borderId="0" applyAlignment="1" pivotButton="0" quotePrefix="0" xfId="0">
      <alignment wrapText="1"/>
    </xf>
    <xf numFmtId="164" fontId="0" fillId="0" borderId="1" applyAlignment="1" pivotButton="0" quotePrefix="0" xfId="0">
      <alignment vertical="top" wrapText="1"/>
    </xf>
    <xf numFmtId="164" fontId="8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4" fontId="8" fillId="3" borderId="1" applyAlignment="1" pivotButton="0" quotePrefix="0" xfId="0">
      <alignment vertical="top" wrapText="1"/>
    </xf>
    <xf numFmtId="0" fontId="12" fillId="3" borderId="1" pivotButton="0" quotePrefix="0" xfId="0"/>
    <xf numFmtId="0" fontId="0" fillId="3" borderId="1" pivotButton="0" quotePrefix="0" xfId="0"/>
    <xf numFmtId="164" fontId="9" fillId="3" borderId="9" pivotButton="0" quotePrefix="0" xfId="0"/>
    <xf numFmtId="0" fontId="4" fillId="3" borderId="1" pivotButton="0" quotePrefix="0" xfId="0"/>
    <xf numFmtId="0" fontId="0" fillId="0" borderId="8" pivotButton="0" quotePrefix="0" xfId="0"/>
    <xf numFmtId="0" fontId="13" fillId="0" borderId="0" pivotButton="0" quotePrefix="0" xfId="0"/>
    <xf numFmtId="0" fontId="14" fillId="0" borderId="0" pivotButton="0" quotePrefix="0" xfId="0"/>
    <xf numFmtId="0" fontId="0" fillId="5" borderId="1" applyAlignment="1" pivotButton="0" quotePrefix="0" xfId="0">
      <alignment vertical="top" wrapText="1"/>
    </xf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34E4A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0" customHeight="1">
      <c r="A1" s="1" t="inlineStr">
        <is>
          <t>祺臣机械 · 客户询盘产品目录册（Excel 表格模板）v1.0</t>
        </is>
      </c>
    </row>
    <row r="3" ht="32" customHeight="1">
      <c r="A3" s="2" t="inlineStr">
        <is>
          <t>用途</t>
        </is>
      </c>
      <c r="B3" s="3" t="inlineStr">
        <is>
          <t>面向客户询盘的产品选型、估算与报价工作底稿；可直接编辑、打印、随报价单附送。</t>
        </is>
      </c>
      <c r="C3" s="35" t="n"/>
      <c r="D3" s="35" t="n"/>
      <c r="E3" s="35" t="n"/>
      <c r="F3" s="31" t="n"/>
    </row>
    <row r="4" ht="32" customHeight="1">
      <c r="A4" s="2" t="inlineStr">
        <is>
          <t>数据基准</t>
        </is>
      </c>
      <c r="B4" s="3" t="inlineStr">
        <is>
          <t>MEMORY.md（唯一事实源，核实于 2026-08-10）。价格均为挂牌参考价，成交价以老板确认为准。</t>
        </is>
      </c>
      <c r="C4" s="35" t="n"/>
      <c r="D4" s="35" t="n"/>
      <c r="E4" s="35" t="n"/>
      <c r="F4" s="31" t="n"/>
    </row>
    <row r="5" ht="32" customHeight="1">
      <c r="A5" s="2" t="inlineStr">
        <is>
          <t>诚实口径</t>
        </is>
      </c>
      <c r="B5" s="3" t="inlineStr">
        <is>
          <t>额定速度≠实际产能：净产出按额定×70–80% 主动向客户说明（SOUL 铁律 2）。</t>
        </is>
      </c>
      <c r="C5" s="35" t="n"/>
      <c r="D5" s="35" t="n"/>
      <c r="E5" s="35" t="n"/>
      <c r="F5" s="31" t="n"/>
    </row>
    <row r="6" ht="32" customHeight="1">
      <c r="A6" s="2" t="inlineStr">
        <is>
          <t>待确认项</t>
        </is>
      </c>
      <c r="B6" s="3" t="inlineStr">
        <is>
          <t>KBM 具体速度、CP650/LP-450/易损件包价格、交期——均为「以工厂/老板确认为准」，不编造。</t>
        </is>
      </c>
      <c r="C6" s="35" t="n"/>
      <c r="D6" s="35" t="n"/>
      <c r="E6" s="35" t="n"/>
      <c r="F6" s="31" t="n"/>
    </row>
    <row r="7" ht="32" customHeight="1">
      <c r="A7" s="2" t="inlineStr">
        <is>
          <t>工作表</t>
        </is>
      </c>
      <c r="B7" s="3" t="inlineStr">
        <is>
          <t>①产品目录：16 项产品全参数+目标画像+推荐理由；②选型估算：活公式自动算净产出与机台数；③PI行项目模板：整线报价工作底稿；④条款库：付款/交期/质保/信任背书中英口径。</t>
        </is>
      </c>
      <c r="C7" s="35" t="n"/>
      <c r="D7" s="35" t="n"/>
      <c r="E7" s="35" t="n"/>
      <c r="F7" s="31" t="n"/>
    </row>
    <row r="8" ht="32" customHeight="1">
      <c r="A8" s="2" t="inlineStr">
        <is>
          <t>红线</t>
        </is>
      </c>
      <c r="B8" s="3" t="inlineStr">
        <is>
          <t>折扣/交期/账期/独家让步须老板拍板；参数必须有出处；成本价与利润结构保密。</t>
        </is>
      </c>
      <c r="C8" s="35" t="n"/>
      <c r="D8" s="35" t="n"/>
      <c r="E8" s="35" t="n"/>
      <c r="F8" s="31" t="n"/>
    </row>
    <row r="10">
      <c r="A10" s="4" t="inlineStr">
        <is>
          <t>公司：Wenzhou Qichen Trading Co., Ltd.（品牌 QiChen，中文名「祺臣机械」）｜ 店铺 machine-china.en.alibaba.com ｜ 16 年金品 · SGS 实地认证 · Trade Assurance · 准时发货率 100% · 响应 ≤6h ｜ 编制：祺工</t>
        </is>
      </c>
    </row>
  </sheetData>
  <mergeCells count="8">
    <mergeCell ref="B4:F4"/>
    <mergeCell ref="B7:F7"/>
    <mergeCell ref="A10:F10"/>
    <mergeCell ref="B6:F6"/>
    <mergeCell ref="A1:F1"/>
    <mergeCell ref="B3:F3"/>
    <mergeCell ref="B5:F5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/>
  </sheetPr>
  <dimension ref="A1:K20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0" customWidth="1" min="4" max="4"/>
    <col width="14" customWidth="1" min="5" max="5"/>
    <col width="16" customWidth="1" min="6" max="6"/>
    <col width="10" customWidth="1" min="7" max="7"/>
    <col width="18" customWidth="1" min="8" max="8"/>
    <col width="16" customWidth="1" min="9" max="9"/>
    <col width="22" customWidth="1" min="10" max="10"/>
    <col width="52" customWidth="1" min="11" max="11"/>
  </cols>
  <sheetData>
    <row r="1" ht="30" customHeight="1">
      <c r="A1" s="1" t="inlineStr">
        <is>
          <t>产品目录（MEMORY §2 全机型 · 价格为挂牌参考价）</t>
        </is>
      </c>
    </row>
    <row r="2">
      <c r="A2" s="5" t="inlineStr">
        <is>
          <t>序号</t>
        </is>
      </c>
      <c r="B2" s="5" t="inlineStr">
        <is>
          <t>品类</t>
        </is>
      </c>
      <c r="C2" s="5" t="inlineStr">
        <is>
          <t>机型</t>
        </is>
      </c>
      <c r="D2" s="5" t="inlineStr">
        <is>
          <t>英文名</t>
        </is>
      </c>
      <c r="E2" s="5" t="inlineStr">
        <is>
          <t>额定速度</t>
        </is>
      </c>
      <c r="F2" s="5" t="inlineStr">
        <is>
          <t>规格范围</t>
        </is>
      </c>
      <c r="G2" s="5" t="inlineStr">
        <is>
          <t>功率</t>
        </is>
      </c>
      <c r="H2" s="5" t="inlineStr">
        <is>
          <t>封合/结构</t>
        </is>
      </c>
      <c r="I2" s="5" t="inlineStr">
        <is>
          <t>参考价区间(USD)</t>
        </is>
      </c>
      <c r="J2" s="5" t="inlineStr">
        <is>
          <t>目标客户画像</t>
        </is>
      </c>
      <c r="K2" s="5" t="inlineStr">
        <is>
          <t>推荐理由</t>
        </is>
      </c>
    </row>
    <row r="3">
      <c r="A3" s="3" t="n">
        <v>1</v>
      </c>
      <c r="B3" s="6" t="inlineStr">
        <is>
          <t>纸杯成型机</t>
        </is>
      </c>
      <c r="C3" s="3" t="inlineStr">
        <is>
          <t>ZBJ-OC12</t>
        </is>
      </c>
      <c r="D3" s="3" t="inlineStr">
        <is>
          <t>Open Cam Paper Cup Forming Machine</t>
        </is>
      </c>
      <c r="E3" s="3" t="inlineStr">
        <is>
          <t>70–80 pcs/min</t>
        </is>
      </c>
      <c r="F3" s="3" t="inlineStr">
        <is>
          <t>2.5–12oz</t>
        </is>
      </c>
      <c r="G3" s="3" t="inlineStr">
        <is>
          <t>~3–8KW</t>
        </is>
      </c>
      <c r="H3" s="3" t="inlineStr">
        <is>
          <t>开式凸轮+齿轮传动</t>
        </is>
      </c>
      <c r="I3" s="7" t="inlineStr">
        <is>
          <t>$16,000–17,000</t>
        </is>
      </c>
      <c r="J3" s="3" t="inlineStr">
        <is>
          <t>P1 初创投资人：预算敏感、第一次建厂</t>
        </is>
      </c>
      <c r="K3" s="3" t="inlineStr">
        <is>
          <t>全线门槛最低的投资入口，结构成熟可靠；净产出单班约 2.5–2.9 万只，回本周期短，是「how much to start」客户的标准答案。</t>
        </is>
      </c>
    </row>
    <row r="4">
      <c r="A4" s="8" t="n">
        <v>2</v>
      </c>
      <c r="B4" s="9" t="n"/>
      <c r="C4" s="8" t="inlineStr">
        <is>
          <t>ZBJ-OC12 PRO</t>
        </is>
      </c>
      <c r="D4" s="8" t="inlineStr">
        <is>
          <t>Paper Cup Forming Machine OC12 PRO</t>
        </is>
      </c>
      <c r="E4" s="8" t="inlineStr">
        <is>
          <t>80–100 pcs/min</t>
        </is>
      </c>
      <c r="F4" s="8" t="inlineStr">
        <is>
          <t>3–16oz</t>
        </is>
      </c>
      <c r="G4" s="8" t="inlineStr">
        <is>
          <t>8KW</t>
        </is>
      </c>
      <c r="H4" s="8" t="inlineStr">
        <is>
          <t>PLC+电机+齿轮+轴承</t>
        </is>
      </c>
      <c r="I4" s="10" t="inlineStr">
        <is>
          <t>$16,000–17,000</t>
        </is>
      </c>
      <c r="J4" s="8" t="inlineStr">
        <is>
          <t>P1 进阶 / P3 贸易商走量款</t>
        </is>
      </c>
      <c r="K4" s="8" t="inlineStr">
        <is>
          <t>与 OC12 同价位段，速度更快、杯型上限扩到 16oz，同样预算买更大产能弹性；PLC 控制新手操作更稳。</t>
        </is>
      </c>
    </row>
    <row r="5">
      <c r="A5" s="3" t="n">
        <v>3</v>
      </c>
      <c r="B5" s="9" t="n"/>
      <c r="C5" s="3" t="inlineStr">
        <is>
          <t>WT-22（双层）</t>
        </is>
      </c>
      <c r="D5" s="3" t="inlineStr">
        <is>
          <t>Double Wall Cup Machine WT-22 (Qichen &amp; Guohao)</t>
        </is>
      </c>
      <c r="E5" s="3" t="inlineStr">
        <is>
          <t>70–80 pcs/min</t>
        </is>
      </c>
      <c r="F5" s="3" t="inlineStr">
        <is>
          <t>2–22oz（全线最广）</t>
        </is>
      </c>
      <c r="G5" s="3" t="inlineStr">
        <is>
          <t>3KW</t>
        </is>
      </c>
      <c r="H5" s="3" t="inlineStr">
        <is>
          <t>开式间歇分度凸轮+PLC</t>
        </is>
      </c>
      <c r="I5" s="7" t="inlineStr">
        <is>
          <t>$16,000–19,000</t>
        </is>
      </c>
      <c r="J5" s="3" t="inlineStr">
        <is>
          <t>P4 连锁咖啡/餐饮自用：双层杯+杯盖整线</t>
        </is>
      </c>
      <c r="K5" s="3" t="inlineStr">
        <is>
          <t>咖啡连锁双层杯刚需机型，2–22oz 一台覆盖全杯型；与 PL-145 打包「咖啡店一站式产线」，净产出约 2.5–2.9 万只/班。</t>
        </is>
      </c>
    </row>
    <row r="6">
      <c r="A6" s="8" t="n">
        <v>4</v>
      </c>
      <c r="B6" s="9" t="n"/>
      <c r="C6" s="8" t="inlineStr">
        <is>
          <t>G12（高速）</t>
        </is>
      </c>
      <c r="D6" s="8" t="inlineStr">
        <is>
          <t>High Speed Cup Machine G12</t>
        </is>
      </c>
      <c r="E6" s="8" t="inlineStr">
        <is>
          <t>110–150 pcs/min</t>
        </is>
      </c>
      <c r="F6" s="8" t="inlineStr">
        <is>
          <t>2–12oz</t>
        </is>
      </c>
      <c r="G6" s="8" t="inlineStr">
        <is>
          <t>20KW</t>
        </is>
      </c>
      <c r="H6" s="8" t="inlineStr">
        <is>
          <t>PLC+电机+齿轮</t>
        </is>
      </c>
      <c r="I6" s="10" t="inlineStr">
        <is>
          <t>$24,000–25,000</t>
        </is>
      </c>
      <c r="J6" s="8" t="inlineStr">
        <is>
          <t>P2 工厂扩产：参数内行、要真实产能</t>
        </is>
      </c>
      <c r="K6" s="8" t="inlineStr">
        <is>
          <t>扩产客户产能主力：净产出单班约 4–5.4 万只；对内行客户报额定+净产出双数据、邀请视频试机，用诚实数据赢专业买家。</t>
        </is>
      </c>
    </row>
    <row r="7">
      <c r="A7" s="3" t="n">
        <v>5</v>
      </c>
      <c r="B7" s="9" t="n"/>
      <c r="C7" s="3" t="inlineStr">
        <is>
          <t>KBM（超高速）</t>
        </is>
      </c>
      <c r="D7" s="3" t="inlineStr">
        <is>
          <t>Full-Servo High Speed Line KBM</t>
        </is>
      </c>
      <c r="E7" s="11" t="inlineStr">
        <is>
          <t>超高速（以工厂确认为准）</t>
        </is>
      </c>
      <c r="F7" s="3" t="inlineStr">
        <is>
          <t>大产能产线</t>
        </is>
      </c>
      <c r="G7" s="11" t="inlineStr">
        <is>
          <t>以工厂确认为准</t>
        </is>
      </c>
      <c r="H7" s="3" t="inlineStr">
        <is>
          <t>全伺服高端线</t>
        </is>
      </c>
      <c r="I7" s="7" t="inlineStr">
        <is>
          <t>$51,000–55,000</t>
        </is>
      </c>
      <c r="J7" s="3" t="inlineStr">
        <is>
          <t>P2 大型工厂：产线级预算</t>
        </is>
      </c>
      <c r="K7" s="3" t="inlineStr">
        <is>
          <t>面向大产能客户的全伺服旗舰；具体速度/配置升级工厂工程师确认后提供——高端客户要严谨，不拍脑袋。</t>
        </is>
      </c>
    </row>
    <row r="8">
      <c r="A8" s="8" t="n">
        <v>6</v>
      </c>
      <c r="B8" s="12" t="n"/>
      <c r="C8" s="8" t="inlineStr">
        <is>
          <t>ZBJ-X35</t>
        </is>
      </c>
      <c r="D8" s="8" t="inlineStr">
        <is>
          <t>Automatic Tea Cup Machine X35</t>
        </is>
      </c>
      <c r="E8" s="8" t="inlineStr">
        <is>
          <t>中速</t>
        </is>
      </c>
      <c r="F8" s="8" t="inlineStr">
        <is>
          <t>茶水杯</t>
        </is>
      </c>
      <c r="G8" s="8" t="inlineStr">
        <is>
          <t>—</t>
        </is>
      </c>
      <c r="H8" s="8" t="inlineStr">
        <is>
          <t>全自动</t>
        </is>
      </c>
      <c r="I8" s="10" t="inlineStr">
        <is>
          <t>$17,000</t>
        </is>
      </c>
      <c r="J8" s="8" t="inlineStr">
        <is>
          <t>区域茶饮市场客户</t>
        </is>
      </c>
      <c r="K8" s="8" t="inlineStr">
        <is>
          <t>专机专用：只做茶水杯的客户不必为用不上的杯型付费，针对茶饮询盘直接亮专用机型更显懂行。</t>
        </is>
      </c>
    </row>
    <row r="9">
      <c r="A9" s="3" t="n">
        <v>7</v>
      </c>
      <c r="B9" s="6" t="inlineStr">
        <is>
          <t>纸碗机</t>
        </is>
      </c>
      <c r="C9" s="3" t="inlineStr">
        <is>
          <t>ZBJ-DP35</t>
        </is>
      </c>
      <c r="D9" s="3" t="inlineStr">
        <is>
          <t>Ultrasonic Paper Bowl Machine DP35</t>
        </is>
      </c>
      <c r="E9" s="3" t="inlineStr">
        <is>
          <t>70–80 pcs/min</t>
        </is>
      </c>
      <c r="F9" s="3" t="inlineStr">
        <is>
          <t>10–35oz</t>
        </is>
      </c>
      <c r="G9" s="3" t="inlineStr">
        <is>
          <t>14KW</t>
        </is>
      </c>
      <c r="H9" s="3" t="inlineStr">
        <is>
          <t>超声波焊接+伺服送纸</t>
        </is>
      </c>
      <c r="I9" s="7" t="inlineStr">
        <is>
          <t>$22,000–25,000</t>
        </is>
      </c>
      <c r="J9" s="3" t="inlineStr">
        <is>
          <t>P2 食品包装厂 / P4 冰淇淋、汤品连锁</t>
        </is>
      </c>
      <c r="K9" s="3" t="inlineStr">
        <is>
          <t>冷饮与汤碗必用双面 PE 淋膜纸，热风封不住——DP35 超声波封合专为此设计；客户提别家热风失败案例时，这台就是答案。</t>
        </is>
      </c>
    </row>
    <row r="10">
      <c r="A10" s="8" t="n">
        <v>8</v>
      </c>
      <c r="B10" s="9" t="n"/>
      <c r="C10" s="8" t="inlineStr">
        <is>
          <t>ZBJ-X64 / X135</t>
        </is>
      </c>
      <c r="D10" s="8" t="inlineStr">
        <is>
          <t>Large Caliber Bowl Machine X64/X135</t>
        </is>
      </c>
      <c r="E10" s="8" t="inlineStr">
        <is>
          <t>中速</t>
        </is>
      </c>
      <c r="F10" s="8" t="inlineStr">
        <is>
          <t>大口径（爆米花桶级）</t>
        </is>
      </c>
      <c r="G10" s="8" t="inlineStr">
        <is>
          <t>—</t>
        </is>
      </c>
      <c r="H10" s="8" t="inlineStr">
        <is>
          <t>—</t>
        </is>
      </c>
      <c r="I10" s="10" t="inlineStr">
        <is>
          <t>约 $30,000</t>
        </is>
      </c>
      <c r="J10" s="8" t="inlineStr">
        <is>
          <t>影院/餐饮大碗、爆米花桶客户</t>
        </is>
      </c>
      <c r="K10" s="8" t="inlineStr">
        <is>
          <t>常规碗机口径做不了爆米花桶，X64/X135 专攻大口径成型——细分需求专机专用，避免改造踩坑。</t>
        </is>
      </c>
    </row>
    <row r="11">
      <c r="A11" s="3" t="n">
        <v>9</v>
      </c>
      <c r="B11" s="12" t="n"/>
      <c r="C11" s="3" t="inlineStr">
        <is>
          <t>GH1500</t>
        </is>
      </c>
      <c r="D11" s="3" t="inlineStr">
        <is>
          <t>Kraft Soup Bowl Line GH1500</t>
        </is>
      </c>
      <c r="E11" s="3" t="inlineStr">
        <is>
          <t>高速产线级</t>
        </is>
      </c>
      <c r="F11" s="3" t="inlineStr">
        <is>
          <t>牛皮纸汤碗</t>
        </is>
      </c>
      <c r="G11" s="3" t="inlineStr">
        <is>
          <t>—</t>
        </is>
      </c>
      <c r="H11" s="3" t="inlineStr">
        <is>
          <t>全自动产线级</t>
        </is>
      </c>
      <c r="I11" s="7" t="inlineStr">
        <is>
          <t>约 $44,000</t>
        </is>
      </c>
      <c r="J11" s="3" t="inlineStr">
        <is>
          <t>P2 大型食品包装厂：牛皮纸高端线</t>
        </is>
      </c>
      <c r="K11" s="3" t="inlineStr">
        <is>
          <t>牛皮纸汤碗视觉高端、需求上升，GH1500 是产线级高产能方案，一台线解决成型到产能瓶颈。</t>
        </is>
      </c>
    </row>
    <row r="12">
      <c r="A12" s="8" t="n">
        <v>10</v>
      </c>
      <c r="B12" s="6" t="inlineStr">
        <is>
          <t>杯盖机</t>
        </is>
      </c>
      <c r="C12" s="8" t="inlineStr">
        <is>
          <t>PL-02</t>
        </is>
      </c>
      <c r="D12" s="8" t="inlineStr">
        <is>
          <t>High Speed Cup Lid Machine PL-02</t>
        </is>
      </c>
      <c r="E12" s="8" t="inlineStr">
        <is>
          <t>高速</t>
        </is>
      </c>
      <c r="F12" s="8" t="inlineStr">
        <is>
          <t>平面印刷纸盖</t>
        </is>
      </c>
      <c r="G12" s="8" t="inlineStr">
        <is>
          <t>—</t>
        </is>
      </c>
      <c r="H12" s="8" t="inlineStr">
        <is>
          <t>—</t>
        </is>
      </c>
      <c r="I12" s="10" t="inlineStr">
        <is>
          <t>$31,000–35,000</t>
        </is>
      </c>
      <c r="J12" s="8" t="inlineStr">
        <is>
          <t>杯盖产能需求较高 / 独立做盖小生意</t>
        </is>
      </c>
      <c r="K12" s="8" t="inlineStr">
        <is>
          <t>高速平面印刷纸盖机型，既可配套自有杯线，也能作独立的杯盖生意入口。</t>
        </is>
      </c>
    </row>
    <row r="13">
      <c r="A13" s="3" t="n">
        <v>11</v>
      </c>
      <c r="B13" s="12" t="n"/>
      <c r="C13" s="3" t="inlineStr">
        <is>
          <t>PL-145</t>
        </is>
      </c>
      <c r="D13" s="3" t="inlineStr">
        <is>
          <t>Cup Lid Machine PL-145</t>
        </is>
      </c>
      <c r="E13" s="3" t="inlineStr">
        <is>
          <t>70–100 pcs/min</t>
        </is>
      </c>
      <c r="F13" s="3" t="inlineStr">
        <is>
          <t>纸杯盖主力</t>
        </is>
      </c>
      <c r="G13" s="3" t="inlineStr">
        <is>
          <t>12KW</t>
        </is>
      </c>
      <c r="H13" s="3" t="inlineStr">
        <is>
          <t>PLC 控制</t>
        </is>
      </c>
      <c r="I13" s="7" t="inlineStr">
        <is>
          <t>$26,000–28,000</t>
        </is>
      </c>
      <c r="J13" s="3" t="inlineStr">
        <is>
          <t>P4 连锁咖啡：WT-22 整线标配</t>
        </is>
      </c>
      <c r="K13" s="3" t="inlineStr">
        <is>
          <t>杯盖主力机型，PLC 稳定、比 PL-02 低一档；与 WT-22 组成双层杯+杯盖一站式产线，打包报价提升客单价。</t>
        </is>
      </c>
    </row>
    <row r="14">
      <c r="A14" s="8" t="n">
        <v>12</v>
      </c>
      <c r="B14" s="6" t="inlineStr">
        <is>
          <t>辅机与配套</t>
        </is>
      </c>
      <c r="C14" s="8" t="inlineStr">
        <is>
          <t>CP650 包装机</t>
        </is>
      </c>
      <c r="D14" s="8" t="inlineStr">
        <is>
          <t>Cup Packing Machine CP650</t>
        </is>
      </c>
      <c r="E14" s="8" t="inlineStr">
        <is>
          <t>—</t>
        </is>
      </c>
      <c r="F14" s="8" t="inlineStr">
        <is>
          <t>冷热饮纸杯包装</t>
        </is>
      </c>
      <c r="G14" s="8" t="inlineStr">
        <is>
          <t>—</t>
        </is>
      </c>
      <c r="H14" s="8" t="inlineStr">
        <is>
          <t>—</t>
        </is>
      </c>
      <c r="I14" s="11" t="inlineStr">
        <is>
          <t>询价（需老板确认）</t>
        </is>
      </c>
      <c r="J14" s="8" t="inlineStr">
        <is>
          <t>纸杯线标配下游</t>
        </is>
      </c>
      <c r="K14" s="8" t="inlineStr">
        <is>
          <t>成型后杯子需自动包装才进成品区，整线报价必含，缺了它客户产线不完整。</t>
        </is>
      </c>
    </row>
    <row r="15">
      <c r="A15" s="3" t="n">
        <v>13</v>
      </c>
      <c r="B15" s="9" t="n"/>
      <c r="C15" s="3" t="inlineStr">
        <is>
          <t>LP-450 包装机</t>
        </is>
      </c>
      <c r="D15" s="3" t="inlineStr">
        <is>
          <t>Ice Cream Cup/Lid Packer LP-450</t>
        </is>
      </c>
      <c r="E15" s="3" t="inlineStr">
        <is>
          <t>—</t>
        </is>
      </c>
      <c r="F15" s="3" t="inlineStr">
        <is>
          <t>冰淇淋杯/碗盖包装</t>
        </is>
      </c>
      <c r="G15" s="3" t="inlineStr">
        <is>
          <t>—</t>
        </is>
      </c>
      <c r="H15" s="3" t="inlineStr">
        <is>
          <t>—</t>
        </is>
      </c>
      <c r="I15" s="11" t="inlineStr">
        <is>
          <t>询价（需老板确认）</t>
        </is>
      </c>
      <c r="J15" s="3" t="inlineStr">
        <is>
          <t>冷饮与杯盖产线配套</t>
        </is>
      </c>
      <c r="K15" s="3" t="inlineStr">
        <is>
          <t>与 DP35/PL 系列搭配；冷饮与杯盖客户整线方案的标准下游设备。</t>
        </is>
      </c>
    </row>
    <row r="16">
      <c r="A16" s="8" t="n">
        <v>14</v>
      </c>
      <c r="B16" s="9" t="n"/>
      <c r="C16" s="8" t="inlineStr">
        <is>
          <t>QH-9905 纸箱机</t>
        </is>
      </c>
      <c r="D16" s="8" t="inlineStr">
        <is>
          <t>Carton Erecting Machine QH-9905</t>
        </is>
      </c>
      <c r="E16" s="8" t="inlineStr">
        <is>
          <t>—</t>
        </is>
      </c>
      <c r="F16" s="8" t="inlineStr">
        <is>
          <t>纸箱成型/立箱</t>
        </is>
      </c>
      <c r="G16" s="8" t="inlineStr">
        <is>
          <t>—</t>
        </is>
      </c>
      <c r="H16" s="8" t="inlineStr">
        <is>
          <t>—</t>
        </is>
      </c>
      <c r="I16" s="10" t="inlineStr">
        <is>
          <t>$21,000–22,000</t>
        </is>
      </c>
      <c r="J16" s="8" t="inlineStr">
        <is>
          <t>规模化出货客户增值配套</t>
        </is>
      </c>
      <c r="K16" s="8" t="inlineStr">
        <is>
          <t>成品装箱发货前的纸箱自动化设备，补齐包装段，提升整线客单价。</t>
        </is>
      </c>
    </row>
    <row r="17">
      <c r="A17" s="3" t="n">
        <v>15</v>
      </c>
      <c r="B17" s="9" t="n"/>
      <c r="C17" s="3" t="inlineStr">
        <is>
          <t>V-Bottom 纸袋机</t>
        </is>
      </c>
      <c r="D17" s="3" t="inlineStr">
        <is>
          <t>V-Bottom Paper Bag Machine</t>
        </is>
      </c>
      <c r="E17" s="3" t="inlineStr">
        <is>
          <t>—</t>
        </is>
      </c>
      <c r="F17" s="3" t="inlineStr">
        <is>
          <t>V 底纸袋</t>
        </is>
      </c>
      <c r="G17" s="3" t="inlineStr">
        <is>
          <t>—</t>
        </is>
      </c>
      <c r="H17" s="3" t="inlineStr">
        <is>
          <t>—</t>
        </is>
      </c>
      <c r="I17" s="7" t="inlineStr">
        <is>
          <t>约 $29,000</t>
        </is>
      </c>
      <c r="J17" s="3" t="inlineStr">
        <is>
          <t>纸袋品类客户 / 品类延伸</t>
        </is>
      </c>
      <c r="K17" s="3" t="inlineStr">
        <is>
          <t>纸杯厂客户拓展纸袋业务时的一站式采购选项。</t>
        </is>
      </c>
    </row>
    <row r="18">
      <c r="A18" s="8" t="n">
        <v>16</v>
      </c>
      <c r="B18" s="12" t="n"/>
      <c r="C18" s="8" t="inlineStr">
        <is>
          <t>易损件包</t>
        </is>
      </c>
      <c r="D18" s="8" t="inlineStr">
        <is>
          <t>Wear Parts Package</t>
        </is>
      </c>
      <c r="E18" s="8" t="inlineStr">
        <is>
          <t>—</t>
        </is>
      </c>
      <c r="F18" s="8" t="inlineStr">
        <is>
          <t>切刀/加热元件/滚花轮/超声波焊头</t>
        </is>
      </c>
      <c r="G18" s="8" t="inlineStr">
        <is>
          <t>—</t>
        </is>
      </c>
      <c r="H18" s="8" t="inlineStr">
        <is>
          <t>—</t>
        </is>
      </c>
      <c r="I18" s="11" t="inlineStr">
        <is>
          <t>按件询价</t>
        </is>
      </c>
      <c r="J18" s="8" t="inlineStr">
        <is>
          <t>所有机型客户</t>
        </is>
      </c>
      <c r="K18" s="8" t="inlineStr">
        <is>
          <t>报价时主动建议随货备件包——客户海外投产后最感谢的就是这一包；也是售后复购入口。</t>
        </is>
      </c>
    </row>
    <row r="20">
      <c r="A20" s="4" t="inlineStr">
        <is>
          <t>口径说明：① 速度均为额定值，实际净产出≈额定×70–80%；② 价格为挂牌参考价，成交价老板确认；③ 标准电压 380V/三相，整机约 2700×1400×1900mm、约 2.5 吨/台，运输按 20GP 集装箱规划。</t>
        </is>
      </c>
    </row>
  </sheetData>
  <mergeCells count="6">
    <mergeCell ref="B14:B18"/>
    <mergeCell ref="A20:K20"/>
    <mergeCell ref="B3:B8"/>
    <mergeCell ref="B12:B13"/>
    <mergeCell ref="B9:B11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45309"/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1" t="inlineStr">
        <is>
          <t>选型估算器（净产出=额定×75%口径 · 机台数=峰值×1.2÷日净产出）</t>
        </is>
      </c>
    </row>
    <row r="3">
      <c r="A3" s="13" t="inlineStr">
        <is>
          <t>客户输入区（黄色单元格填写）</t>
        </is>
      </c>
    </row>
    <row r="4">
      <c r="A4" s="14" t="inlineStr">
        <is>
          <t>机型</t>
        </is>
      </c>
      <c r="B4" s="15" t="inlineStr">
        <is>
          <t>G12（高速）</t>
        </is>
      </c>
      <c r="C4" s="16" t="inlineStr">
        <is>
          <t>下拉参考：OC12/OC12 PRO/WT-22/G12/DP35/PL-145（KBM/X35 速度待工厂确认，不适用量化）</t>
        </is>
      </c>
    </row>
    <row r="5">
      <c r="A5" s="14" t="inlineStr">
        <is>
          <t>额定速度(pcs/min)</t>
        </is>
      </c>
      <c r="B5" s="15" t="n">
        <v>130</v>
      </c>
      <c r="C5" s="16" t="inlineStr">
        <is>
          <t>OC12=75｜OC12 PRO=90｜WT-22=75｜G12=130｜DP35=75｜PL-145=85（区间中值）</t>
        </is>
      </c>
    </row>
    <row r="6">
      <c r="A6" s="14" t="inlineStr">
        <is>
          <t>目标日产量(只)</t>
        </is>
      </c>
      <c r="B6" s="15" t="n">
        <v>50000</v>
      </c>
      <c r="C6" s="16" t="inlineStr">
        <is>
          <t>客户需求峰值日产量</t>
        </is>
      </c>
    </row>
    <row r="7">
      <c r="A7" s="14" t="inlineStr">
        <is>
          <t>每日运行(小时)</t>
        </is>
      </c>
      <c r="B7" s="17" t="n">
        <v>8</v>
      </c>
      <c r="C7" s="16" t="inlineStr">
        <is>
          <t>单班8 / 双班16 / 三班24</t>
        </is>
      </c>
    </row>
    <row r="8">
      <c r="A8" s="14" t="inlineStr">
        <is>
          <t>净产出系数</t>
        </is>
      </c>
      <c r="B8" s="18" t="n">
        <v>0.75</v>
      </c>
      <c r="C8" s="16" t="inlineStr">
        <is>
          <t>额定×70–80% 取中值，对外必须说明</t>
        </is>
      </c>
    </row>
    <row r="10">
      <c r="A10" s="19" t="inlineStr">
        <is>
          <t>估算输出（公式自动计算）</t>
        </is>
      </c>
    </row>
    <row r="11">
      <c r="A11" s="14" t="inlineStr">
        <is>
          <t>单小时净产出(只)</t>
        </is>
      </c>
      <c r="B11" s="20">
        <f>B5*B8</f>
        <v/>
      </c>
    </row>
    <row r="12">
      <c r="A12" s="14" t="inlineStr">
        <is>
          <t>单班净产出(只/日/台)</t>
        </is>
      </c>
      <c r="B12" s="20">
        <f>B5*B8*B7</f>
        <v/>
      </c>
    </row>
    <row r="13">
      <c r="A13" s="14" t="inlineStr">
        <is>
          <t>缓冲后目标(只/日)</t>
        </is>
      </c>
      <c r="B13" s="20">
        <f>B6*1.2</f>
        <v/>
      </c>
    </row>
    <row r="14">
      <c r="A14" s="14" t="inlineStr">
        <is>
          <t>所需机台数(台)</t>
        </is>
      </c>
      <c r="B14" s="20">
        <f>CEILING(B6*1.2/B12,1)</f>
        <v/>
      </c>
    </row>
    <row r="15">
      <c r="A15" s="14" t="inlineStr">
        <is>
          <t>双班日产出(只/日)</t>
        </is>
      </c>
      <c r="B15" s="20">
        <f>B12*2</f>
        <v/>
      </c>
    </row>
    <row r="16" ht="30" customHeight="1">
      <c r="A16" s="14" t="inlineStr">
        <is>
          <t>估算结论</t>
        </is>
      </c>
      <c r="B16" s="21">
        <f>CONCATENATE("目标日产 ",TEXT(B6,"#,##0")," 只，缓冲后 ",TEXT(B6*1.2,"#,##0")," 只；单台日净产出约 ",TEXT(B12,"#,##0")," 只 → 建议 ",TEXT(B14,"#,##0")," 台（参考值，正式方案以工厂确认为准）")</f>
        <v/>
      </c>
      <c r="C16" s="35" t="n"/>
      <c r="D16" s="35" t="n"/>
      <c r="E16" s="35" t="n"/>
      <c r="F16" s="35" t="n"/>
      <c r="G16" s="35" t="n"/>
      <c r="H16" s="35" t="n"/>
      <c r="I16" s="31" t="n"/>
    </row>
    <row r="18">
      <c r="A18" s="22" t="inlineStr">
        <is>
          <t>⚠ 红线提醒：① 净产出 70–80% 口径必须向客户主动说明（SOUL 铁律2）；② 净速度实测值、换模时长待工厂实测补入（Q73/Q77），到位前给流程承诺不编造；③ 本表为初判，正式报价走 A4 参谋结构并经老板确认。</t>
        </is>
      </c>
    </row>
  </sheetData>
  <mergeCells count="8">
    <mergeCell ref="C8:I8"/>
    <mergeCell ref="B16:I16"/>
    <mergeCell ref="C4:I4"/>
    <mergeCell ref="A1:I1"/>
    <mergeCell ref="A18:I18"/>
    <mergeCell ref="C6:I6"/>
    <mergeCell ref="C7:I7"/>
    <mergeCell ref="C5:I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D4ED8"/>
    <outlinePr summaryBelow="1" summaryRight="1"/>
    <pageSetUpPr/>
  </sheetPr>
  <dimension ref="A1:H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4" customWidth="1" min="3" max="3"/>
    <col width="8" customWidth="1" min="4" max="4"/>
    <col width="14" customWidth="1" min="5" max="5"/>
    <col width="14" customWidth="1" min="6" max="6"/>
    <col width="18" customWidth="1" min="7" max="7"/>
    <col width="20" customWidth="1" min="8" max="8"/>
  </cols>
  <sheetData>
    <row r="1" ht="30" customHeight="1">
      <c r="A1" s="1" t="inlineStr">
        <is>
          <t>PI 行项目模板（整线结构：主机+辅机+易损件包 · 单价默认挂牌区间中值）</t>
        </is>
      </c>
    </row>
    <row r="2">
      <c r="A2" s="5" t="inlineStr">
        <is>
          <t>序号</t>
        </is>
      </c>
      <c r="B2" s="5" t="inlineStr">
        <is>
          <t>机型/项目</t>
        </is>
      </c>
      <c r="C2" s="5" t="inlineStr">
        <is>
          <t>规格说明</t>
        </is>
      </c>
      <c r="D2" s="5" t="inlineStr">
        <is>
          <t>数量</t>
        </is>
      </c>
      <c r="E2" s="5" t="inlineStr">
        <is>
          <t>单价(USD)</t>
        </is>
      </c>
      <c r="F2" s="5" t="inlineStr">
        <is>
          <t>金额(USD)</t>
        </is>
      </c>
      <c r="G2" s="5" t="inlineStr">
        <is>
          <t>价格状态</t>
        </is>
      </c>
      <c r="H2" s="5" t="inlineStr">
        <is>
          <t>备注</t>
        </is>
      </c>
    </row>
    <row r="3">
      <c r="A3" s="3" t="n">
        <v>1</v>
      </c>
      <c r="B3" s="3" t="inlineStr">
        <is>
          <t>WT-22 双层纸杯机</t>
        </is>
      </c>
      <c r="C3" s="3" t="inlineStr">
        <is>
          <t>70–80 pcs/min，2–22oz，3KW，开式间歇分度凸轮+PLC</t>
        </is>
      </c>
      <c r="D3" s="3" t="n">
        <v>2</v>
      </c>
      <c r="E3" s="23" t="n">
        <v>17500</v>
      </c>
      <c r="F3" s="24">
        <f>IF(E3="","",D3*E3)</f>
        <v/>
      </c>
      <c r="G3" s="3" t="inlineStr">
        <is>
          <t>挂牌区间中值</t>
        </is>
      </c>
      <c r="H3" s="3" t="inlineStr">
        <is>
          <t>双层咖啡杯主力</t>
        </is>
      </c>
    </row>
    <row r="4">
      <c r="A4" s="8" t="n">
        <v>2</v>
      </c>
      <c r="B4" s="8" t="inlineStr">
        <is>
          <t>PL-145 杯盖机</t>
        </is>
      </c>
      <c r="C4" s="8" t="inlineStr">
        <is>
          <t>70–100 pcs/min，12KW，PLC 控制</t>
        </is>
      </c>
      <c r="D4" s="8" t="n">
        <v>1</v>
      </c>
      <c r="E4" s="25" t="n">
        <v>27000</v>
      </c>
      <c r="F4" s="26">
        <f>IF(E4="","",D4*E4)</f>
        <v/>
      </c>
      <c r="G4" s="8" t="inlineStr">
        <is>
          <t>挂牌区间中值</t>
        </is>
      </c>
      <c r="H4" s="8" t="inlineStr">
        <is>
          <t>双层线标配杯盖</t>
        </is>
      </c>
    </row>
    <row r="5">
      <c r="A5" s="3" t="n">
        <v>3</v>
      </c>
      <c r="B5" s="3" t="inlineStr">
        <is>
          <t>CP650 包装机</t>
        </is>
      </c>
      <c r="C5" s="3" t="inlineStr">
        <is>
          <t>冷热饮纸杯自动包装</t>
        </is>
      </c>
      <c r="D5" s="3" t="n">
        <v>1</v>
      </c>
      <c r="E5" s="3" t="inlineStr"/>
      <c r="F5" s="24">
        <f>IF(E5="","",D5*E5)</f>
        <v/>
      </c>
      <c r="G5" s="11" t="inlineStr">
        <is>
          <t>询价·需老板确认</t>
        </is>
      </c>
      <c r="H5" s="3" t="inlineStr">
        <is>
          <t>产线必配下游</t>
        </is>
      </c>
    </row>
    <row r="6">
      <c r="A6" s="8" t="n">
        <v>4</v>
      </c>
      <c r="B6" s="8" t="inlineStr">
        <is>
          <t>空压机（气源）</t>
        </is>
      </c>
      <c r="C6" s="8" t="inlineStr">
        <is>
          <t>按产线规模选配</t>
        </is>
      </c>
      <c r="D6" s="8" t="n">
        <v>1</v>
      </c>
      <c r="E6" s="8" t="inlineStr"/>
      <c r="F6" s="26">
        <f>IF(E6="","",D6*E6)</f>
        <v/>
      </c>
      <c r="G6" s="11" t="inlineStr">
        <is>
          <t>询价·需老板确认</t>
        </is>
      </c>
      <c r="H6" s="8" t="inlineStr">
        <is>
          <t>纸杯机气源刚需</t>
        </is>
      </c>
    </row>
    <row r="7">
      <c r="A7" s="3" t="n">
        <v>5</v>
      </c>
      <c r="B7" s="3" t="inlineStr">
        <is>
          <t>易损件包</t>
        </is>
      </c>
      <c r="C7" s="3" t="inlineStr">
        <is>
          <t>切刀/加热元件/滚花轮/超声波焊头</t>
        </is>
      </c>
      <c r="D7" s="3" t="n">
        <v>1</v>
      </c>
      <c r="E7" s="3" t="inlineStr"/>
      <c r="F7" s="24">
        <f>IF(E7="","",D7*E7)</f>
        <v/>
      </c>
      <c r="G7" s="11" t="inlineStr">
        <is>
          <t>按件询价</t>
        </is>
      </c>
      <c r="H7" s="3" t="inlineStr">
        <is>
          <t>建议随货</t>
        </is>
      </c>
    </row>
    <row r="8">
      <c r="A8" s="8" t="n">
        <v>6</v>
      </c>
      <c r="B8" s="8" t="inlineStr">
        <is>
          <t>杯型模具（8oz/12oz）</t>
        </is>
      </c>
      <c r="C8" s="8" t="inlineStr">
        <is>
          <t>按客户杯型定制</t>
        </is>
      </c>
      <c r="D8" s="8" t="n">
        <v>2</v>
      </c>
      <c r="E8" s="8" t="inlineStr"/>
      <c r="F8" s="26">
        <f>IF(E8="","",D8*E8)</f>
        <v/>
      </c>
      <c r="G8" s="11" t="inlineStr">
        <is>
          <t>询价·需老板确认</t>
        </is>
      </c>
      <c r="H8" s="8" t="inlineStr">
        <is>
          <t>图纸定制能力</t>
        </is>
      </c>
    </row>
    <row r="9">
      <c r="A9" s="27" t="inlineStr">
        <is>
          <t>合计</t>
        </is>
      </c>
      <c r="B9" s="35" t="n"/>
      <c r="C9" s="35" t="n"/>
      <c r="D9" s="35" t="n"/>
      <c r="E9" s="31" t="n"/>
      <c r="F9" s="29">
        <f>SUM(F3:F8)</f>
        <v/>
      </c>
      <c r="G9" s="30" t="inlineStr">
        <is>
          <t>已定价小计；询价项待老板定价</t>
        </is>
      </c>
      <c r="H9" s="31" t="n"/>
    </row>
    <row r="11">
      <c r="A11" s="32" t="inlineStr">
        <is>
          <t>使用规则（SOUL 边界）：</t>
        </is>
      </c>
    </row>
    <row r="12">
      <c r="A12" s="33" t="inlineStr">
        <is>
          <t>① 单价改动超出挂牌区间 = 折扣，必须老板书面批准后方可写入 PI；</t>
        </is>
      </c>
    </row>
    <row r="13">
      <c r="A13" s="33" t="inlineStr">
        <is>
          <t>② 询价项（CP650/LP-450/空压机/模具/易损件包）须老板定价，不得自行估价；</t>
        </is>
      </c>
    </row>
    <row r="14">
      <c r="A14" s="33" t="inlineStr">
        <is>
          <t>③ 交期未获生产部确认前写 "To be confirmed"；付款标准口径 30/70 或 Trade Assurance；</t>
        </is>
      </c>
    </row>
    <row r="15">
      <c r="A15" s="32" t="inlineStr">
        <is>
          <t>④ 本表示例配置为「咖啡店一站式产线」，实际按客户画像与需求四问调整。</t>
        </is>
      </c>
    </row>
  </sheetData>
  <mergeCells count="8">
    <mergeCell ref="A12:H12"/>
    <mergeCell ref="A15:H15"/>
    <mergeCell ref="A13:H13"/>
    <mergeCell ref="A11:H11"/>
    <mergeCell ref="A14:H14"/>
    <mergeCell ref="A1:H1"/>
    <mergeCell ref="G9:H9"/>
    <mergeCell ref="A9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C3AED"/>
    <outlinePr summaryBelow="1" summaryRight="1"/>
    <pageSetUpPr/>
  </sheetPr>
  <dimension ref="A1:C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60" customWidth="1" min="3" max="3"/>
  </cols>
  <sheetData>
    <row r="1" ht="30" customHeight="1">
      <c r="A1" s="1" t="inlineStr">
        <is>
          <t>报价/PI 条款库（中英对照 · 口径对齐 MEMORY §3.5/§5 与 SOUL 边界）</t>
        </is>
      </c>
    </row>
    <row r="2">
      <c r="A2" s="5" t="inlineStr">
        <is>
          <t>类别</t>
        </is>
      </c>
      <c r="B2" s="5" t="inlineStr">
        <is>
          <t>中文口径</t>
        </is>
      </c>
      <c r="C2" s="5" t="inlineStr">
        <is>
          <t>English Clause</t>
        </is>
      </c>
    </row>
    <row r="3">
      <c r="A3" s="7" t="inlineStr">
        <is>
          <t>付款·标准T/T</t>
        </is>
      </c>
      <c r="B3" s="3" t="inlineStr">
        <is>
          <t>30% 定金，70% 发货前付清</t>
        </is>
      </c>
      <c r="C3" s="3" t="inlineStr">
        <is>
          <t>Payment terms: 30% T/T deposit upon order confirmation, 70% balance before shipment.</t>
        </is>
      </c>
    </row>
    <row r="4">
      <c r="A4" s="10" t="inlineStr">
        <is>
          <t>付款·信保</t>
        </is>
      </c>
      <c r="B4" s="8" t="inlineStr">
        <is>
          <t>走阿里信保在线支付，订单受 Alibaba.com 保障</t>
        </is>
      </c>
      <c r="C4" s="8" t="inlineStr">
        <is>
          <t>Payment via Alibaba Trade Assurance, order protected by Alibaba.com.</t>
        </is>
      </c>
    </row>
    <row r="5">
      <c r="A5" s="7" t="inlineStr">
        <is>
          <t>付款·见提单副本</t>
        </is>
      </c>
      <c r="B5" s="34" t="inlineStr">
        <is>
          <t>30% 定金，70% 见提单副本（风险较高，须老板确认）</t>
        </is>
      </c>
      <c r="C5" s="34" t="inlineStr">
        <is>
          <t>30% T/T deposit, 70% balance against copy of B/L.（须老板确认 / subject to boss approval）</t>
        </is>
      </c>
    </row>
    <row r="6">
      <c r="A6" s="10" t="inlineStr">
        <is>
          <t>付款·L/C或账期</t>
        </is>
      </c>
      <c r="B6" s="34" t="inlineStr">
        <is>
          <t>L/C、90 天账期等非常规条款一律先报老板审批</t>
        </is>
      </c>
      <c r="C6" s="8" t="inlineStr">
        <is>
          <t>L/C or credit terms must be approved by management first.</t>
        </is>
      </c>
    </row>
    <row r="7">
      <c r="A7" s="7" t="inlineStr">
        <is>
          <t>交期·未确认</t>
        </is>
      </c>
      <c r="B7" s="34" t="inlineStr">
        <is>
          <t>生产部确认前唯一合规写法：待确认</t>
        </is>
      </c>
      <c r="C7" s="3" t="inlineStr">
        <is>
          <t>Delivery time: To be confirmed after order confirmation.</t>
        </is>
      </c>
    </row>
    <row r="8">
      <c r="A8" s="10" t="inlineStr">
        <is>
          <t>交期·已确认</t>
        </is>
      </c>
      <c r="B8" s="8" t="inlineStr">
        <is>
          <t>收到定金后 __ 个工作日内交货（天数由生产部/老板提供）</t>
        </is>
      </c>
      <c r="C8" s="8" t="inlineStr">
        <is>
          <t>Delivery time: within __ working days after receiving the deposit.</t>
        </is>
      </c>
    </row>
    <row r="9">
      <c r="A9" s="7" t="inlineStr">
        <is>
          <t>质保</t>
        </is>
      </c>
      <c r="B9" s="3" t="inlineStr">
        <is>
          <t>安装之日起 12 个月质保，易损件除外（行业惯例 1–2 年）</t>
        </is>
      </c>
      <c r="C9" s="3" t="inlineStr">
        <is>
          <t>Warranty: 12 months from installation, excluding wear parts (industry practice: 1–2 years).</t>
        </is>
      </c>
    </row>
    <row r="10">
      <c r="A10" s="10" t="inlineStr">
        <is>
          <t>易损件</t>
        </is>
      </c>
      <c r="B10" s="8" t="inlineStr">
        <is>
          <t>易损件含切刀、加热元件、滚花轮、超声波焊头；建议随货备件包</t>
        </is>
      </c>
      <c r="C10" s="8" t="inlineStr">
        <is>
          <t>Wear parts include cutting knives, heating elements, knurling rollers and ultrasonic horns; spare parts package recommended.</t>
        </is>
      </c>
    </row>
    <row r="11">
      <c r="A11" s="7" t="inlineStr">
        <is>
          <t>安装培训</t>
        </is>
      </c>
      <c r="B11" s="3" t="inlineStr">
        <is>
          <t>免费视频安装指导与操作培训；工程师海外安装，客户承担差旅</t>
        </is>
      </c>
      <c r="C11" s="3" t="inlineStr">
        <is>
          <t>Free video installation guidance &amp; operator training; overseas engineer installation available, buyer covers travel cost.</t>
        </is>
      </c>
    </row>
    <row r="12">
      <c r="A12" s="10" t="inlineStr">
        <is>
          <t>售后</t>
        </is>
      </c>
      <c r="B12" s="34" t="inlineStr">
        <is>
          <t>国际服务中心提供售后支持（响应时效细则待工厂确认）</t>
        </is>
      </c>
      <c r="C12" s="8" t="inlineStr">
        <is>
          <t>After-sales service supported by our International Service Center (response details to be confirmed).</t>
        </is>
      </c>
    </row>
    <row r="13">
      <c r="A13" s="7" t="inlineStr">
        <is>
          <t>电压</t>
        </is>
      </c>
      <c r="B13" s="3" t="inlineStr">
        <is>
          <t>机器按上述电压配置；投产前买方须确认当地电力</t>
        </is>
      </c>
      <c r="C13" s="3" t="inlineStr">
        <is>
          <t>Machine voltage configured as stated; buyer shall confirm local power supply before production.</t>
        </is>
      </c>
    </row>
    <row r="14">
      <c r="A14" s="10" t="inlineStr">
        <is>
          <t>有效期</t>
        </is>
      </c>
      <c r="B14" s="8" t="inlineStr">
        <is>
          <t>本形式发票在有效期内有效，价格以卖方最终确认为准</t>
        </is>
      </c>
      <c r="C14" s="8" t="inlineStr">
        <is>
          <t>This P.I. is valid within the stated validity period; prices subject to final confirmation by the Seller.</t>
        </is>
      </c>
    </row>
    <row r="15">
      <c r="A15" s="7" t="inlineStr">
        <is>
          <t>信任·资历</t>
        </is>
      </c>
      <c r="B15" s="3" t="inlineStr">
        <is>
          <t>16 年金品供应商，SGS 实地认证</t>
        </is>
      </c>
      <c r="C15" s="3" t="inlineStr">
        <is>
          <t>Seller is a 16-year Gold Supplier on Alibaba.com, onsite verified by SGS.</t>
        </is>
      </c>
    </row>
    <row r="16">
      <c r="A16" s="10" t="inlineStr">
        <is>
          <t>信任·履约</t>
        </is>
      </c>
      <c r="B16" s="8" t="inlineStr">
        <is>
          <t>准时发货率 100%，平均响应 6 小时内</t>
        </is>
      </c>
      <c r="C16" s="8" t="inlineStr">
        <is>
          <t>100% on-time dispatch record, average response within 6 hours.</t>
        </is>
      </c>
    </row>
    <row r="17">
      <c r="A17" s="7" t="inlineStr">
        <is>
          <t>净产出口径</t>
        </is>
      </c>
      <c r="B17" s="3" t="inlineStr">
        <is>
          <t>额定速度≠实际产能，净产出约为额定 70–80%，须主动告知客户</t>
        </is>
      </c>
      <c r="C17" s="3" t="inlineStr">
        <is>
          <t>Net effective output is approx. 70–80% of rated speed; shall be disclosed to buyer proactively.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2026-08-11T02:48:17Z</dcterms:created>
  <dcterms:modified xsi:type="dcterms:W3CDTF">2026-08-11T02:48:39Z</dcterms:modified>
</cp:coreProperties>
</file>